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<sst xmlns="http://schemas.openxmlformats.org/spreadsheetml/2006/main" count="99" uniqueCount="54">
  <si>
    <t/>
  </si>
  <si>
    <t xml:space="preserve">Bill of Materials </t>
  </si>
  <si>
    <t>BOM_背光板V2_PCB2_2026-03-29</t>
  </si>
  <si>
    <t>Project Title：</t>
  </si>
  <si>
    <t>时差培养箱</t>
  </si>
  <si>
    <t>Variant:</t>
  </si>
  <si>
    <t xml:space="preserve"> </t>
  </si>
  <si>
    <t>Report Time：</t>
  </si>
  <si>
    <t>2026年3月29日 17:1:16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</si>
  <si>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</si>
  <si>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</si>
  <si>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</si>
  <si>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</si>
  <si>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</si>
  <si>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</si>
  <si>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</si>
  <si>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</si>
  <si>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</si>
  <si>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</si>
  <si>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</si>
  <si>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</si>
  <si>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100nF</t>
  </si>
  <si>
    <t>C1, C2, C3, C4, C5, C6, C7, C8, C9, C10, C11, C12, C13, C14, C15, C16, C17, C18, C19, C20, C21, C22, C23, C24, C25, C26, C27, C28, C29, C30, C31, C32, C33, C34, C35, C36, C37, C38, C39, C40, C41, C42, C43, C44, C45, C46, C47, C48, C49, C50, C51, C52, C53, C54, C55, C56, C57, C58, C59, C60, C61, C62, C63, C64, C65, C66, C67, C68, C69, C70, C71, C72, C73, C74, C75, C76, C77, C78, C79, C80, C81, C82, C83, C84, C85, C86, C87, C88, C89, C90, C91, C92, C93, C94, C95, C96</t>
  </si>
  <si>
    <t>C0805</t>
  </si>
  <si>
    <t>FCC0805B104K500DT</t>
  </si>
  <si>
    <t>FOJAN(富捷)</t>
  </si>
  <si>
    <t>C5137467</t>
  </si>
  <si>
    <t>LCSC</t>
  </si>
  <si>
    <t>ZX-XH2.54-3PWZ-GW</t>
  </si>
  <si>
    <t>CN1</t>
  </si>
  <si>
    <t>CONN-TH_ZX-XH2.54-3PWZ-R</t>
  </si>
  <si>
    <t>Megastar(兆星)</t>
  </si>
  <si>
    <t>C42441539</t>
  </si>
  <si>
    <t>XL-5050RGBC-WS2812B</t>
  </si>
  <si>
    <t>LED1, LED2, LED3, LED4, LED5, LED6, LED7, LED8, LED9, LED10, LED11, LED12, LED13, LED14, LED15, LED16, LED17, LED18, LED19, LED20, LED21, LED22, LED23, LED24, LED25, LED26, LED27, LED28, LED29, LED30, LED31, LED32, LED33, LED34, LED35, LED36, LED37, LED38, LED39, LED40, LED41, LED42, LED43, LED44, LED45, LED46, LED47, LED48, LED49, LED50, LED51, LED52, LED53, LED54, LED55, LED56, LED57, LED58, LED59, LED60, LED61, LED62, LED63, LED64, LED65, LED66, LED67, LED68, LED69, LED70, LED71, LED72, LED73, LED74, LED75, LED76, LED77, LED78, LED79, LED80, LED81, LED82, LED83, LED84, LED85, LED86, LED87, LED88, LED89, LED90, LED91, LED92, LED93, LED94, LED95, LED96</t>
  </si>
  <si>
    <t>LED-SMD_4P-L5.0-W5.0-BL_XL-5050RGBC</t>
  </si>
  <si>
    <t>XINGLIGHT(成兴光)</t>
  </si>
  <si>
    <t>C2843785</t>
  </si>
  <si>
    <t>Project Title</t>
  </si>
  <si>
    <t>Borard Title</t>
  </si>
  <si>
    <t>背光板V2</t>
  </si>
  <si>
    <t>Schematic Title</t>
  </si>
  <si>
    <t>PCB Title</t>
  </si>
  <si>
    <t>PCB2</t>
  </si>
  <si>
    <t>Variant Name</t>
  </si>
  <si>
    <t>Total Quantity</t>
  </si>
  <si>
    <t>Report Time</t>
  </si>
  <si>
    <t>17:1:16</t>
  </si>
  <si>
    <t>Report Date</t>
  </si>
  <si>
    <t>2026年3月29日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</si>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</sst>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96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1</v>
      </c>
      <c r="C8" s="9" t="s">
        <v>28</v>
      </c>
      <c r="D8" s="9" t="s">
        <v>29</v>
      </c>
      <c r="E8" s="9" t="s">
        <v>30</v>
      </c>
      <c r="F8" s="9" t="s">
        <v>0</v>
      </c>
      <c r="G8" s="9" t="s">
        <v>28</v>
      </c>
      <c r="H8" s="9" t="s">
        <v>31</v>
      </c>
      <c r="I8" s="9" t="s">
        <v>32</v>
      </c>
      <c r="J8" s="9" t="s">
        <v>27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96</v>
      </c>
      <c r="C9" s="9" t="s">
        <v>33</v>
      </c>
      <c r="D9" s="9" t="s">
        <v>34</v>
      </c>
      <c r="E9" s="9" t="s">
        <v>35</v>
      </c>
      <c r="F9" s="9" t="s">
        <v>0</v>
      </c>
      <c r="G9" s="9" t="s">
        <v>33</v>
      </c>
      <c r="H9" s="9" t="s">
        <v>36</v>
      </c>
      <c r="I9" s="9" t="s">
        <v>37</v>
      </c>
      <c r="J9" s="9" t="s">
        <v>27</v>
      </c>
      <c r="K9" s="9" t="s">
        <v>0</v>
      </c>
      <c r="L9" s="10">
        <f>B9*K9</f>
      </c>
    </row>
    <row r="10" spans="1:12" x14ac:dyDescent="0.25">
      <c r="A10" s="8">
        <f>ROW()-6</f>
      </c>
      <c r="B10" s="11">
        <f>SUM(L7:L9)</f>
      </c>
      <c r="C10" s="11"/>
      <c r="D10" s="11"/>
      <c r="E10" s="11"/>
      <c r="F10" s="11"/>
      <c r="G10" s="11"/>
      <c r="H10" s="11"/>
      <c r="I10" s="11"/>
      <c r="J10" s="11"/>
      <c r="K10" s="11"/>
      <c r="L10" s="11"/>
    </row>
  </sheetData>
  <mergeCells count="4">
    <mergeCell ref="A1:D5"/>
    <mergeCell ref="E1:E2"/>
    <mergeCell ref="F1:F2"/>
    <mergeCell ref="B10:L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38</v>
      </c>
      <c r="B1" s="6" t="s">
        <v>4</v>
      </c>
    </row>
    <row r="2" spans="1:2" x14ac:dyDescent="0.25">
      <c r="A2" s="6" t="s">
        <v>39</v>
      </c>
      <c r="B2" s="6" t="s">
        <v>40</v>
      </c>
    </row>
    <row r="3" spans="1:2" x14ac:dyDescent="0.25">
      <c r="A3" s="6" t="s">
        <v>41</v>
      </c>
      <c r="B3" s="6" t="s">
        <v>6</v>
      </c>
    </row>
    <row r="4" spans="1:2" x14ac:dyDescent="0.25">
      <c r="A4" s="6" t="s">
        <v>42</v>
      </c>
      <c r="B4" s="6" t="s">
        <v>43</v>
      </c>
    </row>
    <row r="5" spans="1:2" x14ac:dyDescent="0.25">
      <c r="A5" s="6" t="s">
        <v>44</v>
      </c>
      <c r="B5" s="6" t="s">
        <v>6</v>
      </c>
    </row>
    <row r="6" spans="1:2" x14ac:dyDescent="0.25">
      <c r="A6" s="6" t="s">
        <v>45</v>
      </c>
      <c r="B6" s="6">
        <v>193</v>
      </c>
    </row>
    <row r="7" spans="1:2" x14ac:dyDescent="0.25">
      <c r="A7" s="6" t="s">
        <v>46</v>
      </c>
      <c r="B7" s="6" t="s">
        <v>47</v>
      </c>
    </row>
    <row r="8" spans="1:2" x14ac:dyDescent="0.25">
      <c r="A8" s="6" t="s">
        <v>48</v>
      </c>
      <c r="B8" s="6" t="s">
        <v>49</v>
      </c>
    </row>
    <row r="9" spans="1:2" x14ac:dyDescent="0.25">
      <c r="A9" s="6" t="s">
        <v>50</v>
      </c>
      <c r="B9" s="6" t="s">
        <v>8</v>
      </c>
    </row>
    <row r="10" spans="1:2" x14ac:dyDescent="0.25">
      <c r="A10" s="6" t="s">
        <v>51</v>
      </c>
      <c r="B10" s="6" t="s">
        <v>2</v>
      </c>
    </row>
    <row r="11" spans="1:2" x14ac:dyDescent="0.25">
      <c r="A11" s="6" t="s">
        <v>52</v>
      </c>
      <c r="B11" s="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2026-03-29T09:01:16Z</dcterms:modified>
</cp:coreProperties>
</file>