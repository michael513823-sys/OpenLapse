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<sst xmlns="http://schemas.openxmlformats.org/spreadsheetml/2006/main" count="315" uniqueCount="165">
  <si>
    <t/>
  </si>
  <si>
    <t xml:space="preserve">Bill of Materials </t>
  </si>
  <si>
    <t>BOM_主控板_2w_Schematic3_2026-03-29</t>
  </si>
  <si>
    <t>Project Title：</t>
  </si>
  <si>
    <t>时差培养箱</t>
  </si>
  <si>
    <t>Variant:</t>
  </si>
  <si>
    <t xml:space="preserve"> </t>
  </si>
  <si>
    <t>Report Time：</t>
  </si>
  <si>
    <t>2026年3月29日 17:0:41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</si>
  <si>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</si>
  <si>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</si>
  <si>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</si>
  <si>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</si>
  <si>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</si>
  <si>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</si>
  <si>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</si>
  <si>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</si>
  <si>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</si>
  <si>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</si>
  <si>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</si>
  <si>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</si>
  <si>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10uF</t>
  </si>
  <si>
    <t>C4, C6, C50</t>
  </si>
  <si>
    <t>C0805</t>
  </si>
  <si>
    <t>CL21A106KOQNNNE</t>
  </si>
  <si>
    <t>SAMSUNG(三星)</t>
  </si>
  <si>
    <t>C1713</t>
  </si>
  <si>
    <t>LCSC</t>
  </si>
  <si>
    <t>100nF</t>
  </si>
  <si>
    <t>C5, C7, C29, C30, C31, C32, C33, C51</t>
  </si>
  <si>
    <t>FCC0805B104K500DT</t>
  </si>
  <si>
    <t>FOJAN(富捷)</t>
  </si>
  <si>
    <t>C5137467</t>
  </si>
  <si>
    <t>1uF</t>
  </si>
  <si>
    <t>C49, C52, C53</t>
  </si>
  <si>
    <t>CL21B105KBFNNNE</t>
  </si>
  <si>
    <t>C28323</t>
  </si>
  <si>
    <t>33nF</t>
  </si>
  <si>
    <t>C54</t>
  </si>
  <si>
    <t>CC0805KRX7R9BB333</t>
  </si>
  <si>
    <t>YAGEO(国巨)</t>
  </si>
  <si>
    <t>C107150</t>
  </si>
  <si>
    <t>ZX-XH2.54-3PWZ-GW</t>
  </si>
  <si>
    <t>CN1</t>
  </si>
  <si>
    <t>CONN-TH_ZX-XH2.54-3PWZ-R</t>
  </si>
  <si>
    <t>Megastar(兆星)</t>
  </si>
  <si>
    <t>C42441539</t>
  </si>
  <si>
    <t>KF301-5.0-2P</t>
  </si>
  <si>
    <t>CN29</t>
  </si>
  <si>
    <t>CONN-TH_P5.00_KF301-5.0-2P</t>
  </si>
  <si>
    <t>KEFA(科发)</t>
  </si>
  <si>
    <t>C474881</t>
  </si>
  <si>
    <t>XH2.54*2P_直插</t>
  </si>
  <si>
    <t>CN30</t>
  </si>
  <si>
    <t>CONN-TH_2P-P2.50-XH2.54-2P</t>
  </si>
  <si>
    <t>C9900008615</t>
  </si>
  <si>
    <t>SS1045</t>
  </si>
  <si>
    <t>D7, D8</t>
  </si>
  <si>
    <t>SMC_L6.9-W5.9-LS7.9-RD</t>
  </si>
  <si>
    <t>LGE(鲁光)</t>
  </si>
  <si>
    <t>C2903779</t>
  </si>
  <si>
    <t>47uH</t>
  </si>
  <si>
    <t>L1</t>
  </si>
  <si>
    <t>IND-SMD_L12.3-W12.3</t>
  </si>
  <si>
    <t>SMDRI127-470MT</t>
  </si>
  <si>
    <t>SXN(顺翔诺)</t>
  </si>
  <si>
    <t>C9906</t>
  </si>
  <si>
    <t>YLED0805B</t>
  </si>
  <si>
    <t>LED1, LED2, LED3</t>
  </si>
  <si>
    <t>LED0805-RD</t>
  </si>
  <si>
    <t>YONGYUTAI(永裕泰)</t>
  </si>
  <si>
    <t>C19273154</t>
  </si>
  <si>
    <t>XH2.54_4P_直插</t>
  </si>
  <si>
    <t>MOTOR1, MOTOR2, MOTOR3</t>
  </si>
  <si>
    <t>CONN-TH_4P-P2.50-XH2.54-4P</t>
  </si>
  <si>
    <t>C9900008616</t>
  </si>
  <si>
    <t>10kΩ</t>
  </si>
  <si>
    <t>R23</t>
  </si>
  <si>
    <t>R0805</t>
  </si>
  <si>
    <t>FRC0805J103TS</t>
  </si>
  <si>
    <t>C2930231</t>
  </si>
  <si>
    <t>3.3kΩ</t>
  </si>
  <si>
    <t>R24</t>
  </si>
  <si>
    <t>0805W8F3301T5E</t>
  </si>
  <si>
    <t>UNI-ROYAL(厚声)</t>
  </si>
  <si>
    <t>C26010</t>
  </si>
  <si>
    <t>4.7kΩ</t>
  </si>
  <si>
    <t>R36</t>
  </si>
  <si>
    <t>0805W8F4701T5E</t>
  </si>
  <si>
    <t>C17673</t>
  </si>
  <si>
    <t>2.2kΩ</t>
  </si>
  <si>
    <t>R37</t>
  </si>
  <si>
    <t>0805W8F2201T5E</t>
  </si>
  <si>
    <t>C17520</t>
  </si>
  <si>
    <t>1kΩ</t>
  </si>
  <si>
    <t>R38, R73</t>
  </si>
  <si>
    <t>0805W8F1001T5E</t>
  </si>
  <si>
    <t>C17513</t>
  </si>
  <si>
    <t>R47, R48, R49, R53, R54, R55, R56, R57, R58, R59, R60, R61, R62, R63, R64, R65, R66, R67, R68, R70, R71, R72</t>
  </si>
  <si>
    <t>0805W8F1002T5E</t>
  </si>
  <si>
    <t>C17414</t>
  </si>
  <si>
    <t>2.54-2*20</t>
  </si>
  <si>
    <t>RPi_GPIO</t>
  </si>
  <si>
    <t>HDR-TH_40P-P2.54-V-F-R2-C20-S2.54</t>
  </si>
  <si>
    <t>ZHOURI(洲日)</t>
  </si>
  <si>
    <t>C2977589</t>
  </si>
  <si>
    <t>Test-Point</t>
  </si>
  <si>
    <t>TP-3.3V1, TP-5V, TP-12V1, TP-GND1</t>
  </si>
  <si>
    <t>Test-Point-0.5mm</t>
  </si>
  <si>
    <t>AMS1117-5.0</t>
  </si>
  <si>
    <t>U3</t>
  </si>
  <si>
    <t>SOT-223_L6.5-W3.5-P2.30-LS7.0-BR</t>
  </si>
  <si>
    <t>AMS</t>
  </si>
  <si>
    <t>C6187</t>
  </si>
  <si>
    <t>100uF贴片电解</t>
  </si>
  <si>
    <t>U22, U24, U26</t>
  </si>
  <si>
    <t>CAP-SMD_BD6.3-L6.6-W6.6-LS7.4-FD</t>
  </si>
  <si>
    <t>C9900002196</t>
  </si>
  <si>
    <t>TMC2209SILENTSTEPSTICK</t>
  </si>
  <si>
    <t>U23, U25, U27</t>
  </si>
  <si>
    <t>COMM-TH_TMC2209SILENTSTEPSTICK</t>
  </si>
  <si>
    <t>TRINAMIC</t>
  </si>
  <si>
    <t>C17375345</t>
  </si>
  <si>
    <t>SN74HCT245PWR</t>
  </si>
  <si>
    <t>U28</t>
  </si>
  <si>
    <t>TSSOP-20_L6.5-W4.4-P0.65-LS6.4-BL</t>
  </si>
  <si>
    <t>TI(德州仪器)</t>
  </si>
  <si>
    <t>C6779</t>
  </si>
  <si>
    <t>74HCT1G125GV,125</t>
  </si>
  <si>
    <t>U30</t>
  </si>
  <si>
    <t>SOT-753_L3.1-W1.7-P0.95-LS3.0-BL</t>
  </si>
  <si>
    <t>Nexperia(安世)</t>
  </si>
  <si>
    <t>C12502</t>
  </si>
  <si>
    <t>330uF</t>
  </si>
  <si>
    <t>U31</t>
  </si>
  <si>
    <t>CAP-SMD_BD6.3-L6.6-W6.6-LS7.3-FD</t>
  </si>
  <si>
    <t>JVJ25V330M6x8</t>
  </si>
  <si>
    <t>JIERR(捷而瑞)</t>
  </si>
  <si>
    <t>C46550406</t>
  </si>
  <si>
    <t>XL4015E1</t>
  </si>
  <si>
    <t>U32</t>
  </si>
  <si>
    <t>TO-263-5_L10.2-W8.9-P1.70-TL</t>
  </si>
  <si>
    <t>XLSEMI(芯龙)</t>
  </si>
  <si>
    <t>C51661</t>
  </si>
  <si>
    <t>220uF</t>
  </si>
  <si>
    <t>U33</t>
  </si>
  <si>
    <t>CAP-SMD_BD6.3-L6.6-W6.6-LS7.3-FD-H7.7</t>
  </si>
  <si>
    <t>JVJ25V220M6x8</t>
  </si>
  <si>
    <t>C46550404</t>
  </si>
  <si>
    <t>Project Title</t>
  </si>
  <si>
    <t>Borard Title</t>
  </si>
  <si>
    <t>主控板_2w</t>
  </si>
  <si>
    <t>Schematic Title</t>
  </si>
  <si>
    <t>Schematic3</t>
  </si>
  <si>
    <t>PCB Title</t>
  </si>
  <si>
    <t>Variant Name</t>
  </si>
  <si>
    <t>Total Quantity</t>
  </si>
  <si>
    <t>Report Time</t>
  </si>
  <si>
    <t>17:0:41</t>
  </si>
  <si>
    <t>Report Date</t>
  </si>
  <si>
    <t>2026年3月29日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</si>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</sst>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3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8</v>
      </c>
      <c r="C8" s="9" t="s">
        <v>28</v>
      </c>
      <c r="D8" s="9" t="s">
        <v>29</v>
      </c>
      <c r="E8" s="9" t="s">
        <v>23</v>
      </c>
      <c r="F8" s="9" t="s">
        <v>28</v>
      </c>
      <c r="G8" s="9" t="s">
        <v>30</v>
      </c>
      <c r="H8" s="9" t="s">
        <v>31</v>
      </c>
      <c r="I8" s="9" t="s">
        <v>32</v>
      </c>
      <c r="J8" s="9" t="s">
        <v>27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3</v>
      </c>
      <c r="C9" s="9" t="s">
        <v>33</v>
      </c>
      <c r="D9" s="9" t="s">
        <v>34</v>
      </c>
      <c r="E9" s="9" t="s">
        <v>23</v>
      </c>
      <c r="F9" s="9" t="s">
        <v>33</v>
      </c>
      <c r="G9" s="9" t="s">
        <v>35</v>
      </c>
      <c r="H9" s="9" t="s">
        <v>25</v>
      </c>
      <c r="I9" s="9" t="s">
        <v>36</v>
      </c>
      <c r="J9" s="9" t="s">
        <v>27</v>
      </c>
      <c r="K9" s="9" t="s">
        <v>0</v>
      </c>
      <c r="L9" s="10">
        <f>B9*K9</f>
      </c>
    </row>
    <row r="10" spans="1:12" x14ac:dyDescent="0.25">
      <c r="A10" s="8">
        <f>ROW()-6</f>
      </c>
      <c r="B10" s="9">
        <v>1</v>
      </c>
      <c r="C10" s="9" t="s">
        <v>37</v>
      </c>
      <c r="D10" s="9" t="s">
        <v>38</v>
      </c>
      <c r="E10" s="9" t="s">
        <v>23</v>
      </c>
      <c r="F10" s="9" t="s">
        <v>37</v>
      </c>
      <c r="G10" s="9" t="s">
        <v>39</v>
      </c>
      <c r="H10" s="9" t="s">
        <v>40</v>
      </c>
      <c r="I10" s="9" t="s">
        <v>41</v>
      </c>
      <c r="J10" s="9" t="s">
        <v>27</v>
      </c>
      <c r="K10" s="9" t="s">
        <v>0</v>
      </c>
      <c r="L10" s="10">
        <f>B10*K10</f>
      </c>
    </row>
    <row r="11" spans="1:12" x14ac:dyDescent="0.25">
      <c r="A11" s="8">
        <f>ROW()-6</f>
      </c>
      <c r="B11" s="9">
        <v>1</v>
      </c>
      <c r="C11" s="9" t="s">
        <v>42</v>
      </c>
      <c r="D11" s="9" t="s">
        <v>43</v>
      </c>
      <c r="E11" s="9" t="s">
        <v>44</v>
      </c>
      <c r="F11" s="9" t="s">
        <v>0</v>
      </c>
      <c r="G11" s="9" t="s">
        <v>42</v>
      </c>
      <c r="H11" s="9" t="s">
        <v>45</v>
      </c>
      <c r="I11" s="9" t="s">
        <v>46</v>
      </c>
      <c r="J11" s="9" t="s">
        <v>27</v>
      </c>
      <c r="K11" s="9" t="s">
        <v>0</v>
      </c>
      <c r="L11" s="10">
        <f>B11*K11</f>
      </c>
    </row>
    <row r="12" spans="1:12" x14ac:dyDescent="0.25">
      <c r="A12" s="8">
        <f>ROW()-6</f>
      </c>
      <c r="B12" s="9">
        <v>1</v>
      </c>
      <c r="C12" s="9" t="s">
        <v>47</v>
      </c>
      <c r="D12" s="9" t="s">
        <v>48</v>
      </c>
      <c r="E12" s="9" t="s">
        <v>49</v>
      </c>
      <c r="F12" s="9" t="s">
        <v>0</v>
      </c>
      <c r="G12" s="9" t="s">
        <v>47</v>
      </c>
      <c r="H12" s="9" t="s">
        <v>50</v>
      </c>
      <c r="I12" s="9" t="s">
        <v>51</v>
      </c>
      <c r="J12" s="9" t="s">
        <v>27</v>
      </c>
      <c r="K12" s="9" t="s">
        <v>0</v>
      </c>
      <c r="L12" s="10">
        <f>B12*K12</f>
      </c>
    </row>
    <row r="13" spans="1:12" x14ac:dyDescent="0.25">
      <c r="A13" s="8">
        <f>ROW()-6</f>
      </c>
      <c r="B13" s="9">
        <v>1</v>
      </c>
      <c r="C13" s="9" t="s">
        <v>52</v>
      </c>
      <c r="D13" s="9" t="s">
        <v>53</v>
      </c>
      <c r="E13" s="9" t="s">
        <v>54</v>
      </c>
      <c r="F13" s="9" t="s">
        <v>0</v>
      </c>
      <c r="G13" s="9" t="s">
        <v>52</v>
      </c>
      <c r="H13" s="9" t="s">
        <v>0</v>
      </c>
      <c r="I13" s="9" t="s">
        <v>55</v>
      </c>
      <c r="J13" s="9" t="s">
        <v>27</v>
      </c>
      <c r="K13" s="9" t="s">
        <v>0</v>
      </c>
      <c r="L13" s="10">
        <f>B13*K13</f>
      </c>
    </row>
    <row r="14" spans="1:12" x14ac:dyDescent="0.25">
      <c r="A14" s="8">
        <f>ROW()-6</f>
      </c>
      <c r="B14" s="9">
        <v>2</v>
      </c>
      <c r="C14" s="9" t="s">
        <v>56</v>
      </c>
      <c r="D14" s="9" t="s">
        <v>57</v>
      </c>
      <c r="E14" s="9" t="s">
        <v>58</v>
      </c>
      <c r="F14" s="9" t="s">
        <v>0</v>
      </c>
      <c r="G14" s="9" t="s">
        <v>56</v>
      </c>
      <c r="H14" s="9" t="s">
        <v>59</v>
      </c>
      <c r="I14" s="9" t="s">
        <v>60</v>
      </c>
      <c r="J14" s="9" t="s">
        <v>27</v>
      </c>
      <c r="K14" s="9" t="s">
        <v>0</v>
      </c>
      <c r="L14" s="10">
        <f>B14*K14</f>
      </c>
    </row>
    <row r="15" spans="1:12" x14ac:dyDescent="0.25">
      <c r="A15" s="8">
        <f>ROW()-6</f>
      </c>
      <c r="B15" s="9">
        <v>1</v>
      </c>
      <c r="C15" s="9" t="s">
        <v>61</v>
      </c>
      <c r="D15" s="9" t="s">
        <v>62</v>
      </c>
      <c r="E15" s="9" t="s">
        <v>63</v>
      </c>
      <c r="F15" s="9" t="s">
        <v>61</v>
      </c>
      <c r="G15" s="9" t="s">
        <v>64</v>
      </c>
      <c r="H15" s="9" t="s">
        <v>65</v>
      </c>
      <c r="I15" s="9" t="s">
        <v>66</v>
      </c>
      <c r="J15" s="9" t="s">
        <v>27</v>
      </c>
      <c r="K15" s="9" t="s">
        <v>0</v>
      </c>
      <c r="L15" s="10">
        <f>B15*K15</f>
      </c>
    </row>
    <row r="16" spans="1:12" x14ac:dyDescent="0.25">
      <c r="A16" s="8">
        <f>ROW()-6</f>
      </c>
      <c r="B16" s="9">
        <v>3</v>
      </c>
      <c r="C16" s="9" t="s">
        <v>67</v>
      </c>
      <c r="D16" s="9" t="s">
        <v>68</v>
      </c>
      <c r="E16" s="9" t="s">
        <v>69</v>
      </c>
      <c r="F16" s="9" t="s">
        <v>0</v>
      </c>
      <c r="G16" s="9" t="s">
        <v>67</v>
      </c>
      <c r="H16" s="9" t="s">
        <v>70</v>
      </c>
      <c r="I16" s="9" t="s">
        <v>71</v>
      </c>
      <c r="J16" s="9" t="s">
        <v>27</v>
      </c>
      <c r="K16" s="9" t="s">
        <v>0</v>
      </c>
      <c r="L16" s="10">
        <f>B16*K16</f>
      </c>
    </row>
    <row r="17" spans="1:12" x14ac:dyDescent="0.25">
      <c r="A17" s="8">
        <f>ROW()-6</f>
      </c>
      <c r="B17" s="9">
        <v>3</v>
      </c>
      <c r="C17" s="9" t="s">
        <v>72</v>
      </c>
      <c r="D17" s="9" t="s">
        <v>73</v>
      </c>
      <c r="E17" s="9" t="s">
        <v>74</v>
      </c>
      <c r="F17" s="9" t="s">
        <v>0</v>
      </c>
      <c r="G17" s="9" t="s">
        <v>72</v>
      </c>
      <c r="H17" s="9" t="s">
        <v>0</v>
      </c>
      <c r="I17" s="9" t="s">
        <v>75</v>
      </c>
      <c r="J17" s="9" t="s">
        <v>27</v>
      </c>
      <c r="K17" s="9" t="s">
        <v>0</v>
      </c>
      <c r="L17" s="10">
        <f>B17*K17</f>
      </c>
    </row>
    <row r="18" spans="1:12" x14ac:dyDescent="0.25">
      <c r="A18" s="8">
        <f>ROW()-6</f>
      </c>
      <c r="B18" s="9">
        <v>1</v>
      </c>
      <c r="C18" s="9" t="s">
        <v>76</v>
      </c>
      <c r="D18" s="9" t="s">
        <v>77</v>
      </c>
      <c r="E18" s="9" t="s">
        <v>78</v>
      </c>
      <c r="F18" s="9" t="s">
        <v>76</v>
      </c>
      <c r="G18" s="9" t="s">
        <v>79</v>
      </c>
      <c r="H18" s="9" t="s">
        <v>31</v>
      </c>
      <c r="I18" s="9" t="s">
        <v>80</v>
      </c>
      <c r="J18" s="9" t="s">
        <v>27</v>
      </c>
      <c r="K18" s="9" t="s">
        <v>0</v>
      </c>
      <c r="L18" s="10">
        <f>B18*K18</f>
      </c>
    </row>
    <row r="19" spans="1:12" x14ac:dyDescent="0.25">
      <c r="A19" s="8">
        <f>ROW()-6</f>
      </c>
      <c r="B19" s="9">
        <v>1</v>
      </c>
      <c r="C19" s="9" t="s">
        <v>81</v>
      </c>
      <c r="D19" s="9" t="s">
        <v>82</v>
      </c>
      <c r="E19" s="9" t="s">
        <v>78</v>
      </c>
      <c r="F19" s="9" t="s">
        <v>81</v>
      </c>
      <c r="G19" s="9" t="s">
        <v>83</v>
      </c>
      <c r="H19" s="9" t="s">
        <v>84</v>
      </c>
      <c r="I19" s="9" t="s">
        <v>85</v>
      </c>
      <c r="J19" s="9" t="s">
        <v>27</v>
      </c>
      <c r="K19" s="9" t="s">
        <v>0</v>
      </c>
      <c r="L19" s="10">
        <f>B19*K19</f>
      </c>
    </row>
    <row r="20" spans="1:12" x14ac:dyDescent="0.25">
      <c r="A20" s="8">
        <f>ROW()-6</f>
      </c>
      <c r="B20" s="9">
        <v>1</v>
      </c>
      <c r="C20" s="9" t="s">
        <v>86</v>
      </c>
      <c r="D20" s="9" t="s">
        <v>87</v>
      </c>
      <c r="E20" s="9" t="s">
        <v>78</v>
      </c>
      <c r="F20" s="9" t="s">
        <v>86</v>
      </c>
      <c r="G20" s="9" t="s">
        <v>88</v>
      </c>
      <c r="H20" s="9" t="s">
        <v>84</v>
      </c>
      <c r="I20" s="9" t="s">
        <v>89</v>
      </c>
      <c r="J20" s="9" t="s">
        <v>27</v>
      </c>
      <c r="K20" s="9" t="s">
        <v>0</v>
      </c>
      <c r="L20" s="10">
        <f>B20*K20</f>
      </c>
    </row>
    <row r="21" spans="1:12" x14ac:dyDescent="0.25">
      <c r="A21" s="8">
        <f>ROW()-6</f>
      </c>
      <c r="B21" s="9">
        <v>1</v>
      </c>
      <c r="C21" s="9" t="s">
        <v>90</v>
      </c>
      <c r="D21" s="9" t="s">
        <v>91</v>
      </c>
      <c r="E21" s="9" t="s">
        <v>78</v>
      </c>
      <c r="F21" s="9" t="s">
        <v>90</v>
      </c>
      <c r="G21" s="9" t="s">
        <v>92</v>
      </c>
      <c r="H21" s="9" t="s">
        <v>84</v>
      </c>
      <c r="I21" s="9" t="s">
        <v>93</v>
      </c>
      <c r="J21" s="9" t="s">
        <v>27</v>
      </c>
      <c r="K21" s="9" t="s">
        <v>0</v>
      </c>
      <c r="L21" s="10">
        <f>B21*K21</f>
      </c>
    </row>
    <row r="22" spans="1:12" x14ac:dyDescent="0.25">
      <c r="A22" s="8">
        <f>ROW()-6</f>
      </c>
      <c r="B22" s="9">
        <v>2</v>
      </c>
      <c r="C22" s="9" t="s">
        <v>94</v>
      </c>
      <c r="D22" s="9" t="s">
        <v>95</v>
      </c>
      <c r="E22" s="9" t="s">
        <v>78</v>
      </c>
      <c r="F22" s="9" t="s">
        <v>94</v>
      </c>
      <c r="G22" s="9" t="s">
        <v>96</v>
      </c>
      <c r="H22" s="9" t="s">
        <v>84</v>
      </c>
      <c r="I22" s="9" t="s">
        <v>97</v>
      </c>
      <c r="J22" s="9" t="s">
        <v>27</v>
      </c>
      <c r="K22" s="9" t="s">
        <v>0</v>
      </c>
      <c r="L22" s="10">
        <f>B22*K22</f>
      </c>
    </row>
    <row r="23" spans="1:12" x14ac:dyDescent="0.25">
      <c r="A23" s="8">
        <f>ROW()-6</f>
      </c>
      <c r="B23" s="9">
        <v>22</v>
      </c>
      <c r="C23" s="9" t="s">
        <v>76</v>
      </c>
      <c r="D23" s="9" t="s">
        <v>98</v>
      </c>
      <c r="E23" s="9" t="s">
        <v>78</v>
      </c>
      <c r="F23" s="9" t="s">
        <v>76</v>
      </c>
      <c r="G23" s="9" t="s">
        <v>99</v>
      </c>
      <c r="H23" s="9" t="s">
        <v>84</v>
      </c>
      <c r="I23" s="9" t="s">
        <v>100</v>
      </c>
      <c r="J23" s="9" t="s">
        <v>27</v>
      </c>
      <c r="K23" s="9" t="s">
        <v>0</v>
      </c>
      <c r="L23" s="10">
        <f>B23*K23</f>
      </c>
    </row>
    <row r="24" spans="1:12" x14ac:dyDescent="0.25">
      <c r="A24" s="8">
        <f>ROW()-6</f>
      </c>
      <c r="B24" s="9">
        <v>1</v>
      </c>
      <c r="C24" s="9" t="s">
        <v>101</v>
      </c>
      <c r="D24" s="9" t="s">
        <v>102</v>
      </c>
      <c r="E24" s="9" t="s">
        <v>103</v>
      </c>
      <c r="F24" s="9" t="s">
        <v>0</v>
      </c>
      <c r="G24" s="9" t="s">
        <v>101</v>
      </c>
      <c r="H24" s="9" t="s">
        <v>104</v>
      </c>
      <c r="I24" s="9" t="s">
        <v>105</v>
      </c>
      <c r="J24" s="9" t="s">
        <v>27</v>
      </c>
      <c r="K24" s="9" t="s">
        <v>0</v>
      </c>
      <c r="L24" s="10">
        <f>B24*K24</f>
      </c>
    </row>
    <row r="25" spans="1:12" x14ac:dyDescent="0.25">
      <c r="A25" s="8">
        <f>ROW()-6</f>
      </c>
      <c r="B25" s="9">
        <v>4</v>
      </c>
      <c r="C25" s="9" t="s">
        <v>106</v>
      </c>
      <c r="D25" s="9" t="s">
        <v>107</v>
      </c>
      <c r="E25" s="9" t="s">
        <v>108</v>
      </c>
      <c r="F25" s="9" t="s">
        <v>0</v>
      </c>
      <c r="G25" s="9" t="s">
        <v>0</v>
      </c>
      <c r="H25" s="9" t="s">
        <v>0</v>
      </c>
      <c r="I25" s="9" t="s">
        <v>0</v>
      </c>
      <c r="J25" s="9" t="s">
        <v>0</v>
      </c>
      <c r="K25" s="9" t="s">
        <v>0</v>
      </c>
      <c r="L25" s="10">
        <f>B25*K25</f>
      </c>
    </row>
    <row r="26" spans="1:12" x14ac:dyDescent="0.25">
      <c r="A26" s="8">
        <f>ROW()-6</f>
      </c>
      <c r="B26" s="9">
        <v>1</v>
      </c>
      <c r="C26" s="9" t="s">
        <v>109</v>
      </c>
      <c r="D26" s="9" t="s">
        <v>110</v>
      </c>
      <c r="E26" s="9" t="s">
        <v>111</v>
      </c>
      <c r="F26" s="9" t="s">
        <v>0</v>
      </c>
      <c r="G26" s="9" t="s">
        <v>109</v>
      </c>
      <c r="H26" s="9" t="s">
        <v>112</v>
      </c>
      <c r="I26" s="9" t="s">
        <v>113</v>
      </c>
      <c r="J26" s="9" t="s">
        <v>27</v>
      </c>
      <c r="K26" s="9" t="s">
        <v>0</v>
      </c>
      <c r="L26" s="10">
        <f>B26*K26</f>
      </c>
    </row>
    <row r="27" spans="1:12" x14ac:dyDescent="0.25">
      <c r="A27" s="8">
        <f>ROW()-6</f>
      </c>
      <c r="B27" s="9">
        <v>3</v>
      </c>
      <c r="C27" s="9" t="s">
        <v>114</v>
      </c>
      <c r="D27" s="9" t="s">
        <v>115</v>
      </c>
      <c r="E27" s="9" t="s">
        <v>116</v>
      </c>
      <c r="F27" s="9" t="s">
        <v>0</v>
      </c>
      <c r="G27" s="9" t="s">
        <v>114</v>
      </c>
      <c r="H27" s="9" t="s">
        <v>0</v>
      </c>
      <c r="I27" s="9" t="s">
        <v>117</v>
      </c>
      <c r="J27" s="9" t="s">
        <v>27</v>
      </c>
      <c r="K27" s="9" t="s">
        <v>0</v>
      </c>
      <c r="L27" s="10">
        <f>B27*K27</f>
      </c>
    </row>
    <row r="28" spans="1:12" x14ac:dyDescent="0.25">
      <c r="A28" s="8">
        <f>ROW()-6</f>
      </c>
      <c r="B28" s="9">
        <v>3</v>
      </c>
      <c r="C28" s="9" t="s">
        <v>118</v>
      </c>
      <c r="D28" s="9" t="s">
        <v>119</v>
      </c>
      <c r="E28" s="9" t="s">
        <v>120</v>
      </c>
      <c r="F28" s="9" t="s">
        <v>0</v>
      </c>
      <c r="G28" s="9" t="s">
        <v>118</v>
      </c>
      <c r="H28" s="9" t="s">
        <v>121</v>
      </c>
      <c r="I28" s="9" t="s">
        <v>122</v>
      </c>
      <c r="J28" s="9" t="s">
        <v>27</v>
      </c>
      <c r="K28" s="9" t="s">
        <v>0</v>
      </c>
      <c r="L28" s="10">
        <f>B28*K28</f>
      </c>
    </row>
    <row r="29" spans="1:12" x14ac:dyDescent="0.25">
      <c r="A29" s="8">
        <f>ROW()-6</f>
      </c>
      <c r="B29" s="9">
        <v>1</v>
      </c>
      <c r="C29" s="9" t="s">
        <v>123</v>
      </c>
      <c r="D29" s="9" t="s">
        <v>124</v>
      </c>
      <c r="E29" s="9" t="s">
        <v>125</v>
      </c>
      <c r="F29" s="9" t="s">
        <v>0</v>
      </c>
      <c r="G29" s="9" t="s">
        <v>123</v>
      </c>
      <c r="H29" s="9" t="s">
        <v>126</v>
      </c>
      <c r="I29" s="9" t="s">
        <v>127</v>
      </c>
      <c r="J29" s="9" t="s">
        <v>27</v>
      </c>
      <c r="K29" s="9" t="s">
        <v>0</v>
      </c>
      <c r="L29" s="10">
        <f>B29*K29</f>
      </c>
    </row>
    <row r="30" spans="1:12" x14ac:dyDescent="0.25">
      <c r="A30" s="8">
        <f>ROW()-6</f>
      </c>
      <c r="B30" s="9">
        <v>1</v>
      </c>
      <c r="C30" s="9" t="s">
        <v>128</v>
      </c>
      <c r="D30" s="9" t="s">
        <v>129</v>
      </c>
      <c r="E30" s="9" t="s">
        <v>130</v>
      </c>
      <c r="F30" s="9" t="s">
        <v>0</v>
      </c>
      <c r="G30" s="9" t="s">
        <v>128</v>
      </c>
      <c r="H30" s="9" t="s">
        <v>131</v>
      </c>
      <c r="I30" s="9" t="s">
        <v>132</v>
      </c>
      <c r="J30" s="9" t="s">
        <v>27</v>
      </c>
      <c r="K30" s="9" t="s">
        <v>0</v>
      </c>
      <c r="L30" s="10">
        <f>B30*K30</f>
      </c>
    </row>
    <row r="31" spans="1:12" x14ac:dyDescent="0.25">
      <c r="A31" s="8">
        <f>ROW()-6</f>
      </c>
      <c r="B31" s="9">
        <v>1</v>
      </c>
      <c r="C31" s="9" t="s">
        <v>133</v>
      </c>
      <c r="D31" s="9" t="s">
        <v>134</v>
      </c>
      <c r="E31" s="9" t="s">
        <v>135</v>
      </c>
      <c r="F31" s="9" t="s">
        <v>133</v>
      </c>
      <c r="G31" s="9" t="s">
        <v>136</v>
      </c>
      <c r="H31" s="9" t="s">
        <v>137</v>
      </c>
      <c r="I31" s="9" t="s">
        <v>138</v>
      </c>
      <c r="J31" s="9" t="s">
        <v>27</v>
      </c>
      <c r="K31" s="9" t="s">
        <v>0</v>
      </c>
      <c r="L31" s="10">
        <f>B31*K31</f>
      </c>
    </row>
    <row r="32" spans="1:12" x14ac:dyDescent="0.25">
      <c r="A32" s="8">
        <f>ROW()-6</f>
      </c>
      <c r="B32" s="9">
        <v>1</v>
      </c>
      <c r="C32" s="9" t="s">
        <v>139</v>
      </c>
      <c r="D32" s="9" t="s">
        <v>140</v>
      </c>
      <c r="E32" s="9" t="s">
        <v>141</v>
      </c>
      <c r="F32" s="9" t="s">
        <v>0</v>
      </c>
      <c r="G32" s="9" t="s">
        <v>139</v>
      </c>
      <c r="H32" s="9" t="s">
        <v>142</v>
      </c>
      <c r="I32" s="9" t="s">
        <v>143</v>
      </c>
      <c r="J32" s="9" t="s">
        <v>27</v>
      </c>
      <c r="K32" s="9" t="s">
        <v>0</v>
      </c>
      <c r="L32" s="10">
        <f>B32*K32</f>
      </c>
    </row>
    <row r="33" spans="1:12" x14ac:dyDescent="0.25">
      <c r="A33" s="8">
        <f>ROW()-6</f>
      </c>
      <c r="B33" s="9">
        <v>1</v>
      </c>
      <c r="C33" s="9" t="s">
        <v>144</v>
      </c>
      <c r="D33" s="9" t="s">
        <v>145</v>
      </c>
      <c r="E33" s="9" t="s">
        <v>146</v>
      </c>
      <c r="F33" s="9" t="s">
        <v>144</v>
      </c>
      <c r="G33" s="9" t="s">
        <v>147</v>
      </c>
      <c r="H33" s="9" t="s">
        <v>137</v>
      </c>
      <c r="I33" s="9" t="s">
        <v>148</v>
      </c>
      <c r="J33" s="9" t="s">
        <v>27</v>
      </c>
      <c r="K33" s="9" t="s">
        <v>0</v>
      </c>
      <c r="L33" s="10">
        <f>B33*K33</f>
      </c>
    </row>
    <row r="34" spans="1:12" x14ac:dyDescent="0.25">
      <c r="A34" s="8">
        <f>ROW()-6</f>
      </c>
      <c r="B34" s="11">
        <f>SUM(L7:L33)</f>
      </c>
      <c r="C34" s="11"/>
      <c r="D34" s="11"/>
      <c r="E34" s="11"/>
      <c r="F34" s="11"/>
      <c r="G34" s="11"/>
      <c r="H34" s="11"/>
      <c r="I34" s="11"/>
      <c r="J34" s="11"/>
      <c r="K34" s="11"/>
      <c r="L34" s="11"/>
    </row>
  </sheetData>
  <mergeCells count="4">
    <mergeCell ref="A1:D5"/>
    <mergeCell ref="E1:E2"/>
    <mergeCell ref="F1:F2"/>
    <mergeCell ref="B34:L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149</v>
      </c>
      <c r="B1" s="6" t="s">
        <v>4</v>
      </c>
    </row>
    <row r="2" spans="1:2" x14ac:dyDescent="0.25">
      <c r="A2" s="6" t="s">
        <v>150</v>
      </c>
      <c r="B2" s="6" t="s">
        <v>151</v>
      </c>
    </row>
    <row r="3" spans="1:2" x14ac:dyDescent="0.25">
      <c r="A3" s="6" t="s">
        <v>152</v>
      </c>
      <c r="B3" s="6" t="s">
        <v>153</v>
      </c>
    </row>
    <row r="4" spans="1:2" x14ac:dyDescent="0.25">
      <c r="A4" s="6" t="s">
        <v>154</v>
      </c>
      <c r="B4" s="6" t="s">
        <v>6</v>
      </c>
    </row>
    <row r="5" spans="1:2" x14ac:dyDescent="0.25">
      <c r="A5" s="6" t="s">
        <v>155</v>
      </c>
      <c r="B5" s="6" t="s">
        <v>6</v>
      </c>
    </row>
    <row r="6" spans="1:2" x14ac:dyDescent="0.25">
      <c r="A6" s="6" t="s">
        <v>156</v>
      </c>
      <c r="B6" s="6">
        <v>72</v>
      </c>
    </row>
    <row r="7" spans="1:2" x14ac:dyDescent="0.25">
      <c r="A7" s="6" t="s">
        <v>157</v>
      </c>
      <c r="B7" s="6" t="s">
        <v>158</v>
      </c>
    </row>
    <row r="8" spans="1:2" x14ac:dyDescent="0.25">
      <c r="A8" s="6" t="s">
        <v>159</v>
      </c>
      <c r="B8" s="6" t="s">
        <v>160</v>
      </c>
    </row>
    <row r="9" spans="1:2" x14ac:dyDescent="0.25">
      <c r="A9" s="6" t="s">
        <v>161</v>
      </c>
      <c r="B9" s="6" t="s">
        <v>8</v>
      </c>
    </row>
    <row r="10" spans="1:2" x14ac:dyDescent="0.25">
      <c r="A10" s="6" t="s">
        <v>162</v>
      </c>
      <c r="B10" s="6" t="s">
        <v>2</v>
      </c>
    </row>
    <row r="11" spans="1:2" x14ac:dyDescent="0.25">
      <c r="A11" s="6" t="s">
        <v>163</v>
      </c>
      <c r="B11" s="6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2026-03-29T09:00:41Z</dcterms:modified>
</cp:coreProperties>
</file>